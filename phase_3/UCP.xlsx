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Валерий\Documents\GitHub\PM-team21\phase_3\"/>
    </mc:Choice>
  </mc:AlternateContent>
  <bookViews>
    <workbookView xWindow="0" yWindow="0" windowWidth="28800" windowHeight="12435"/>
  </bookViews>
  <sheets>
    <sheet name="Лист1" sheetId="1" r:id="rId1"/>
  </sheets>
  <calcPr calcId="152511"/>
</workbook>
</file>

<file path=xl/calcChain.xml><?xml version="1.0" encoding="utf-8"?>
<calcChain xmlns="http://schemas.openxmlformats.org/spreadsheetml/2006/main">
  <c r="D71" i="1" l="1"/>
  <c r="D70" i="1"/>
  <c r="D69" i="1"/>
  <c r="D68" i="1"/>
  <c r="D67" i="1"/>
  <c r="J66" i="1"/>
  <c r="D66" i="1"/>
  <c r="J65" i="1"/>
  <c r="D65" i="1"/>
  <c r="J64" i="1"/>
  <c r="D64" i="1"/>
  <c r="J63" i="1"/>
  <c r="D63" i="1"/>
  <c r="J62" i="1"/>
  <c r="D62" i="1"/>
  <c r="J61" i="1"/>
  <c r="D61" i="1"/>
  <c r="J60" i="1"/>
  <c r="D60" i="1"/>
  <c r="J59" i="1"/>
  <c r="D59" i="1"/>
  <c r="E39" i="1"/>
  <c r="J67" i="1" l="1"/>
  <c r="J68" i="1" s="1"/>
  <c r="D72" i="1"/>
  <c r="D73" i="1" s="1"/>
  <c r="B78" i="1" s="1"/>
  <c r="B79" i="1" s="1"/>
</calcChain>
</file>

<file path=xl/sharedStrings.xml><?xml version="1.0" encoding="utf-8"?>
<sst xmlns="http://schemas.openxmlformats.org/spreadsheetml/2006/main" count="136" uniqueCount="93">
  <si>
    <t>Таблица акторов</t>
  </si>
  <si>
    <t>№</t>
  </si>
  <si>
    <t>Актор</t>
  </si>
  <si>
    <t>Тип Актора</t>
  </si>
  <si>
    <t>Вес</t>
  </si>
  <si>
    <t>Кол-во</t>
  </si>
  <si>
    <t>Баллы</t>
  </si>
  <si>
    <t>Сложный (Complex)</t>
  </si>
  <si>
    <t>Почтовый сервис</t>
  </si>
  <si>
    <t>Простой (Simple)</t>
  </si>
  <si>
    <t>- UAW</t>
  </si>
  <si>
    <t>Таблица Use Cases</t>
  </si>
  <si>
    <t>Use Case</t>
  </si>
  <si>
    <t>Кол-во транзакций</t>
  </si>
  <si>
    <t>Сложность</t>
  </si>
  <si>
    <t>Средний</t>
  </si>
  <si>
    <t>Простой</t>
  </si>
  <si>
    <t>Сложный</t>
  </si>
  <si>
    <t>- UUCW</t>
  </si>
  <si>
    <t>Корректировки тех. части</t>
  </si>
  <si>
    <t>Корректировки среды</t>
  </si>
  <si>
    <t>Фактор</t>
  </si>
  <si>
    <t>Описание</t>
  </si>
  <si>
    <t>T1</t>
  </si>
  <si>
    <t>Distributed system</t>
  </si>
  <si>
    <t>E1</t>
  </si>
  <si>
    <t>Familiar with the development process</t>
  </si>
  <si>
    <t>T2</t>
  </si>
  <si>
    <t>Performance objectives</t>
  </si>
  <si>
    <t>E2</t>
  </si>
  <si>
    <t>Application experience</t>
  </si>
  <si>
    <t>T3</t>
  </si>
  <si>
    <t>End-user efficiency</t>
  </si>
  <si>
    <t>E3</t>
  </si>
  <si>
    <t>Object-oriented experience</t>
  </si>
  <si>
    <t>T4</t>
  </si>
  <si>
    <t>Complex processing</t>
  </si>
  <si>
    <t>E4</t>
  </si>
  <si>
    <t>Lead analyst capability</t>
  </si>
  <si>
    <t>T5</t>
  </si>
  <si>
    <t>Reusable code</t>
  </si>
  <si>
    <t>E5</t>
  </si>
  <si>
    <t>Motivation</t>
  </si>
  <si>
    <t>T6</t>
  </si>
  <si>
    <t>Easy to install</t>
  </si>
  <si>
    <t>E6</t>
  </si>
  <si>
    <t>Stable requirements</t>
  </si>
  <si>
    <t>T7</t>
  </si>
  <si>
    <t>Easy to use</t>
  </si>
  <si>
    <t>E7</t>
  </si>
  <si>
    <t>Part-time staff</t>
  </si>
  <si>
    <t>T8</t>
  </si>
  <si>
    <t>Portable</t>
  </si>
  <si>
    <t>E8</t>
  </si>
  <si>
    <t>Difficult programming language</t>
  </si>
  <si>
    <t>T9</t>
  </si>
  <si>
    <t>Easy to change</t>
  </si>
  <si>
    <t>T10</t>
  </si>
  <si>
    <t>Concurrent use</t>
  </si>
  <si>
    <t>T11</t>
  </si>
  <si>
    <t>Security</t>
  </si>
  <si>
    <t>T12</t>
  </si>
  <si>
    <t>Access for third parties</t>
  </si>
  <si>
    <t>T13</t>
  </si>
  <si>
    <t>Training needs</t>
  </si>
  <si>
    <t>Factor</t>
  </si>
  <si>
    <t>Weight</t>
  </si>
  <si>
    <t>Assessment</t>
  </si>
  <si>
    <t>Impact</t>
  </si>
  <si>
    <t>Total</t>
  </si>
  <si>
    <t>EF</t>
  </si>
  <si>
    <t>TCF</t>
  </si>
  <si>
    <t>Итог</t>
  </si>
  <si>
    <t>UCP=(UUCW+UAW)*TCF*EF</t>
  </si>
  <si>
    <t>UCP</t>
  </si>
  <si>
    <t>1UCP =+-20 чч</t>
  </si>
  <si>
    <t>Игрок</t>
  </si>
  <si>
    <t>Облачное хранилище/сервис сохранений (cloud saves)</t>
  </si>
  <si>
    <t>Система достижений / магазин платформы (Google Play / Steam)</t>
  </si>
  <si>
    <t>Средний (Average)</t>
  </si>
  <si>
    <t>Регистрация игрока</t>
  </si>
  <si>
    <t>Создание персонажа</t>
  </si>
  <si>
    <t>Исследование локации</t>
  </si>
  <si>
    <t>Взаимодействие с NPC</t>
  </si>
  <si>
    <t>Получение квеста</t>
  </si>
  <si>
    <t>Выполнение квеста</t>
  </si>
  <si>
    <t>Получение награды</t>
  </si>
  <si>
    <t>Управление инвентарём</t>
  </si>
  <si>
    <t>Бой с противником</t>
  </si>
  <si>
    <t>Развитие персонажа</t>
  </si>
  <si>
    <t>Сохранение прогресса</t>
  </si>
  <si>
    <t>Загрузка сохранения</t>
  </si>
  <si>
    <t>Просмотр лора/журнала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</si>
</sst>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\.m"/>
    <numFmt numFmtId="165" formatCode="0.0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04"/>
      <scheme val="minor"/>
    </font>
    <font>
      <b/>
      <sz val="10"/>
      <color theme="1"/>
      <name val="Arial"/>
      <family val="2"/>
      <charset val="204"/>
      <scheme val="minor"/>
    </font>
    <font>
      <u/>
      <sz val="10"/>
      <color theme="10"/>
      <name val="Arial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 applyFont="1" applyAlignment="1"/>
    <xf numFmtId="0" fontId="1" fillId="0" borderId="0" xfId="0" applyFont="1" applyAlignment="1"/>
    <xf numFmtId="0" fontId="1" fillId="2" borderId="0" xfId="0" applyFont="1" applyFill="1" applyAlignment="1"/>
    <xf numFmtId="0" fontId="1" fillId="3" borderId="0" xfId="0" applyFont="1" applyFill="1" applyAlignment="1"/>
    <xf numFmtId="0" fontId="1" fillId="3" borderId="0" xfId="0" applyFont="1" applyFill="1" applyAlignment="1">
      <alignment wrapText="1"/>
    </xf>
    <xf numFmtId="0" fontId="1" fillId="0" borderId="0" xfId="0" applyFont="1"/>
    <xf numFmtId="0" fontId="1" fillId="4" borderId="0" xfId="0" applyFont="1" applyFill="1"/>
    <xf numFmtId="0" fontId="1" fillId="4" borderId="0" xfId="0" applyFont="1" applyFill="1" applyAlignment="1"/>
    <xf numFmtId="0" fontId="2" fillId="0" borderId="0" xfId="0" applyFont="1" applyAlignment="1">
      <alignment horizontal="center"/>
    </xf>
    <xf numFmtId="49" fontId="1" fillId="3" borderId="0" xfId="0" applyNumberFormat="1" applyFont="1" applyFill="1" applyAlignment="1">
      <alignment wrapText="1"/>
    </xf>
    <xf numFmtId="0" fontId="1" fillId="0" borderId="0" xfId="0" applyFont="1"/>
    <xf numFmtId="164" fontId="1" fillId="0" borderId="0" xfId="0" applyNumberFormat="1" applyFont="1" applyAlignment="1"/>
    <xf numFmtId="0" fontId="2" fillId="2" borderId="0" xfId="0" applyFont="1" applyFill="1" applyAlignment="1">
      <alignment horizontal="center"/>
    </xf>
    <xf numFmtId="165" fontId="1" fillId="3" borderId="0" xfId="0" applyNumberFormat="1" applyFont="1" applyFill="1" applyAlignment="1"/>
    <xf numFmtId="0" fontId="1" fillId="3" borderId="0" xfId="0" applyFont="1" applyFill="1"/>
    <xf numFmtId="0" fontId="1" fillId="5" borderId="0" xfId="0" applyFont="1" applyFill="1" applyAlignment="1"/>
    <xf numFmtId="0" fontId="1" fillId="5" borderId="0" xfId="0" applyFont="1" applyFill="1"/>
    <xf numFmtId="0" fontId="3" fillId="0" borderId="0" xfId="1" applyAlignme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8</xdr:row>
      <xdr:rowOff>66675</xdr:rowOff>
    </xdr:from>
    <xdr:ext cx="3095625" cy="1057275"/>
    <xdr:pic>
      <xdr:nvPicPr>
        <xdr:cNvPr id="2" name="image2.png" title="Изображение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400" y="1666875"/>
          <a:ext cx="3095625" cy="10572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2</xdr:row>
      <xdr:rowOff>57150</xdr:rowOff>
    </xdr:from>
    <xdr:ext cx="5286375" cy="1066800"/>
    <xdr:pic>
      <xdr:nvPicPr>
        <xdr:cNvPr id="3" name="image1.png" title="Изображение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61925" y="457200"/>
          <a:ext cx="5286375" cy="10668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79"/>
  <sheetViews>
    <sheetView tabSelected="1" topLeftCell="A49" workbookViewId="0">
      <selection activeCell="B80" sqref="B80"/>
    </sheetView>
  </sheetViews>
  <sheetFormatPr defaultColWidth="12.5703125" defaultRowHeight="15.75" customHeight="1" x14ac:dyDescent="0.2"/>
  <cols>
    <col min="1" max="1" width="16.5703125" customWidth="1"/>
    <col min="2" max="2" width="18.28515625" customWidth="1"/>
    <col min="3" max="3" width="10.7109375" customWidth="1"/>
    <col min="8" max="8" width="17.85546875" customWidth="1"/>
    <col min="9" max="9" width="10.85546875" customWidth="1"/>
  </cols>
  <sheetData>
    <row r="1" spans="1:1" x14ac:dyDescent="0.2">
      <c r="A1" s="17"/>
    </row>
    <row r="17" spans="1:7" x14ac:dyDescent="0.2">
      <c r="A17" s="1" t="s">
        <v>0</v>
      </c>
    </row>
    <row r="18" spans="1:7" x14ac:dyDescent="0.2">
      <c r="A18" s="2" t="s">
        <v>1</v>
      </c>
      <c r="B18" s="2" t="s">
        <v>2</v>
      </c>
      <c r="C18" s="2" t="s">
        <v>3</v>
      </c>
      <c r="D18" s="2" t="s">
        <v>4</v>
      </c>
      <c r="E18" s="2" t="s">
        <v>5</v>
      </c>
      <c r="F18" s="2" t="s">
        <v>6</v>
      </c>
    </row>
    <row r="19" spans="1:7" x14ac:dyDescent="0.2">
      <c r="A19" s="2">
        <v>1</v>
      </c>
      <c r="B19" s="3" t="s">
        <v>76</v>
      </c>
      <c r="C19" s="4" t="s">
        <v>7</v>
      </c>
      <c r="D19" s="3">
        <v>3</v>
      </c>
      <c r="E19" s="3">
        <v>1</v>
      </c>
      <c r="F19" s="3">
        <v>3</v>
      </c>
    </row>
    <row r="20" spans="1:7" x14ac:dyDescent="0.2">
      <c r="A20" s="2">
        <v>2</v>
      </c>
      <c r="B20" s="3" t="s">
        <v>8</v>
      </c>
      <c r="C20" s="4" t="s">
        <v>9</v>
      </c>
      <c r="D20" s="3">
        <v>1</v>
      </c>
      <c r="E20" s="3">
        <v>1</v>
      </c>
      <c r="F20" s="3">
        <v>1</v>
      </c>
    </row>
    <row r="21" spans="1:7" x14ac:dyDescent="0.2">
      <c r="A21" s="2">
        <v>3</v>
      </c>
      <c r="B21" s="3" t="s">
        <v>77</v>
      </c>
      <c r="C21" s="4" t="s">
        <v>9</v>
      </c>
      <c r="D21" s="3">
        <v>1</v>
      </c>
      <c r="E21" s="3">
        <v>1</v>
      </c>
      <c r="F21" s="3">
        <v>1</v>
      </c>
    </row>
    <row r="22" spans="1:7" x14ac:dyDescent="0.2">
      <c r="A22" s="2">
        <v>4</v>
      </c>
      <c r="B22" s="3" t="s">
        <v>78</v>
      </c>
      <c r="C22" s="4" t="s">
        <v>79</v>
      </c>
      <c r="D22" s="3">
        <v>2</v>
      </c>
      <c r="E22" s="3">
        <v>1</v>
      </c>
      <c r="F22" s="3">
        <v>2</v>
      </c>
    </row>
    <row r="23" spans="1:7" ht="15.75" customHeight="1" x14ac:dyDescent="0.2">
      <c r="F23" s="1">
        <v>7</v>
      </c>
      <c r="G23" s="1" t="s">
        <v>10</v>
      </c>
    </row>
    <row r="24" spans="1:7" x14ac:dyDescent="0.2">
      <c r="A24" s="1" t="s">
        <v>11</v>
      </c>
    </row>
    <row r="25" spans="1:7" x14ac:dyDescent="0.2">
      <c r="A25" s="2" t="s">
        <v>1</v>
      </c>
      <c r="B25" s="2" t="s">
        <v>12</v>
      </c>
      <c r="C25" s="2" t="s">
        <v>13</v>
      </c>
      <c r="D25" s="2" t="s">
        <v>14</v>
      </c>
      <c r="E25" s="2" t="s">
        <v>6</v>
      </c>
    </row>
    <row r="26" spans="1:7" x14ac:dyDescent="0.2">
      <c r="A26" s="2">
        <v>1</v>
      </c>
      <c r="B26" s="4" t="s">
        <v>80</v>
      </c>
      <c r="C26" s="3">
        <v>6</v>
      </c>
      <c r="D26" s="3" t="s">
        <v>15</v>
      </c>
      <c r="E26" s="3">
        <v>10</v>
      </c>
    </row>
    <row r="27" spans="1:7" x14ac:dyDescent="0.2">
      <c r="A27" s="2">
        <v>2</v>
      </c>
      <c r="B27" s="4" t="s">
        <v>81</v>
      </c>
      <c r="C27" s="3">
        <v>6</v>
      </c>
      <c r="D27" s="3" t="s">
        <v>15</v>
      </c>
      <c r="E27" s="3">
        <v>10</v>
      </c>
    </row>
    <row r="28" spans="1:7" x14ac:dyDescent="0.2">
      <c r="A28" s="2">
        <v>3</v>
      </c>
      <c r="B28" s="4" t="s">
        <v>82</v>
      </c>
      <c r="C28" s="3">
        <v>7</v>
      </c>
      <c r="D28" s="3" t="s">
        <v>15</v>
      </c>
      <c r="E28" s="3">
        <v>10</v>
      </c>
    </row>
    <row r="29" spans="1:7" x14ac:dyDescent="0.2">
      <c r="A29" s="2">
        <v>4</v>
      </c>
      <c r="B29" s="4" t="s">
        <v>83</v>
      </c>
      <c r="C29" s="3">
        <v>6</v>
      </c>
      <c r="D29" s="3" t="s">
        <v>15</v>
      </c>
      <c r="E29" s="3">
        <v>10</v>
      </c>
    </row>
    <row r="30" spans="1:7" x14ac:dyDescent="0.2">
      <c r="A30" s="2">
        <v>5</v>
      </c>
      <c r="B30" s="4" t="s">
        <v>84</v>
      </c>
      <c r="C30" s="3">
        <v>5</v>
      </c>
      <c r="D30" s="3" t="s">
        <v>15</v>
      </c>
      <c r="E30" s="3">
        <v>10</v>
      </c>
    </row>
    <row r="31" spans="1:7" x14ac:dyDescent="0.2">
      <c r="A31" s="2">
        <v>6</v>
      </c>
      <c r="B31" s="4" t="s">
        <v>85</v>
      </c>
      <c r="C31" s="3">
        <v>7</v>
      </c>
      <c r="D31" s="3" t="s">
        <v>15</v>
      </c>
      <c r="E31" s="3">
        <v>10</v>
      </c>
    </row>
    <row r="32" spans="1:7" x14ac:dyDescent="0.2">
      <c r="A32" s="2">
        <v>7</v>
      </c>
      <c r="B32" s="4" t="s">
        <v>86</v>
      </c>
      <c r="C32" s="3">
        <v>4</v>
      </c>
      <c r="D32" s="3" t="s">
        <v>15</v>
      </c>
      <c r="E32" s="3">
        <v>10</v>
      </c>
    </row>
    <row r="33" spans="1:12" x14ac:dyDescent="0.2">
      <c r="A33" s="2">
        <v>8</v>
      </c>
      <c r="B33" s="4" t="s">
        <v>87</v>
      </c>
      <c r="C33" s="3">
        <v>8</v>
      </c>
      <c r="D33" s="3" t="s">
        <v>17</v>
      </c>
      <c r="E33" s="3">
        <v>15</v>
      </c>
    </row>
    <row r="34" spans="1:12" x14ac:dyDescent="0.2">
      <c r="A34" s="2">
        <v>9</v>
      </c>
      <c r="B34" s="4" t="s">
        <v>88</v>
      </c>
      <c r="C34" s="3">
        <v>9</v>
      </c>
      <c r="D34" s="3" t="s">
        <v>17</v>
      </c>
      <c r="E34" s="3">
        <v>15</v>
      </c>
    </row>
    <row r="35" spans="1:12" x14ac:dyDescent="0.2">
      <c r="A35" s="2">
        <v>10</v>
      </c>
      <c r="B35" s="4" t="s">
        <v>89</v>
      </c>
      <c r="C35" s="3">
        <v>7</v>
      </c>
      <c r="D35" s="3" t="s">
        <v>15</v>
      </c>
      <c r="E35" s="3">
        <v>10</v>
      </c>
    </row>
    <row r="36" spans="1:12" x14ac:dyDescent="0.2">
      <c r="A36" s="2">
        <v>11</v>
      </c>
      <c r="B36" s="4" t="s">
        <v>90</v>
      </c>
      <c r="C36" s="3">
        <v>3</v>
      </c>
      <c r="D36" s="3" t="s">
        <v>16</v>
      </c>
      <c r="E36" s="3">
        <v>5</v>
      </c>
    </row>
    <row r="37" spans="1:12" x14ac:dyDescent="0.2">
      <c r="A37" s="2">
        <v>12</v>
      </c>
      <c r="B37" s="4" t="s">
        <v>91</v>
      </c>
      <c r="C37" s="3">
        <v>3</v>
      </c>
      <c r="D37" s="3" t="s">
        <v>16</v>
      </c>
      <c r="E37" s="3">
        <v>5</v>
      </c>
    </row>
    <row r="38" spans="1:12" x14ac:dyDescent="0.2">
      <c r="A38" s="2">
        <v>13</v>
      </c>
      <c r="B38" s="4" t="s">
        <v>92</v>
      </c>
      <c r="C38" s="3">
        <v>4</v>
      </c>
      <c r="D38" s="3" t="s">
        <v>15</v>
      </c>
      <c r="E38" s="3">
        <v>10</v>
      </c>
    </row>
    <row r="39" spans="1:12" x14ac:dyDescent="0.2">
      <c r="E39" s="5">
        <f>SUM(E26:E38)</f>
        <v>130</v>
      </c>
      <c r="F39" s="1" t="s">
        <v>18</v>
      </c>
    </row>
    <row r="41" spans="1:12" x14ac:dyDescent="0.2">
      <c r="E41" s="6"/>
      <c r="F41" s="6"/>
      <c r="G41" s="6"/>
      <c r="H41" s="6"/>
      <c r="I41" s="6"/>
    </row>
    <row r="42" spans="1:12" x14ac:dyDescent="0.2">
      <c r="A42" s="1" t="s">
        <v>19</v>
      </c>
      <c r="E42" s="6"/>
      <c r="F42" s="6"/>
      <c r="G42" s="7" t="s">
        <v>20</v>
      </c>
      <c r="H42" s="6"/>
      <c r="I42" s="6"/>
    </row>
    <row r="43" spans="1:12" x14ac:dyDescent="0.2">
      <c r="A43" s="2" t="s">
        <v>21</v>
      </c>
      <c r="B43" s="2" t="s">
        <v>22</v>
      </c>
      <c r="C43" s="2" t="s">
        <v>4</v>
      </c>
      <c r="E43" s="6"/>
      <c r="F43" s="7"/>
      <c r="G43" s="2" t="s">
        <v>21</v>
      </c>
      <c r="H43" s="2" t="s">
        <v>22</v>
      </c>
      <c r="I43" s="2" t="s">
        <v>4</v>
      </c>
      <c r="J43" s="8"/>
      <c r="K43" s="8"/>
      <c r="L43" s="8"/>
    </row>
    <row r="44" spans="1:12" x14ac:dyDescent="0.2">
      <c r="A44" s="2" t="s">
        <v>23</v>
      </c>
      <c r="B44" s="3" t="s">
        <v>24</v>
      </c>
      <c r="C44" s="3">
        <v>2</v>
      </c>
      <c r="E44" s="6"/>
      <c r="F44" s="7"/>
      <c r="G44" s="2" t="s">
        <v>25</v>
      </c>
      <c r="H44" s="9" t="s">
        <v>26</v>
      </c>
      <c r="I44" s="3">
        <v>1.5</v>
      </c>
    </row>
    <row r="45" spans="1:12" x14ac:dyDescent="0.2">
      <c r="A45" s="2" t="s">
        <v>27</v>
      </c>
      <c r="B45" s="3" t="s">
        <v>28</v>
      </c>
      <c r="C45" s="3">
        <v>2</v>
      </c>
      <c r="E45" s="6"/>
      <c r="F45" s="7"/>
      <c r="G45" s="2" t="s">
        <v>29</v>
      </c>
      <c r="H45" s="9" t="s">
        <v>30</v>
      </c>
      <c r="I45" s="3">
        <v>0.5</v>
      </c>
    </row>
    <row r="46" spans="1:12" x14ac:dyDescent="0.2">
      <c r="A46" s="2" t="s">
        <v>31</v>
      </c>
      <c r="B46" s="3" t="s">
        <v>32</v>
      </c>
      <c r="C46" s="3">
        <v>1</v>
      </c>
      <c r="E46" s="6"/>
      <c r="F46" s="7"/>
      <c r="G46" s="2" t="s">
        <v>33</v>
      </c>
      <c r="H46" s="9" t="s">
        <v>34</v>
      </c>
      <c r="I46" s="3">
        <v>1</v>
      </c>
    </row>
    <row r="47" spans="1:12" x14ac:dyDescent="0.2">
      <c r="A47" s="2" t="s">
        <v>35</v>
      </c>
      <c r="B47" s="3" t="s">
        <v>36</v>
      </c>
      <c r="C47" s="3">
        <v>1</v>
      </c>
      <c r="E47" s="6"/>
      <c r="F47" s="7"/>
      <c r="G47" s="2" t="s">
        <v>37</v>
      </c>
      <c r="H47" s="9" t="s">
        <v>38</v>
      </c>
      <c r="I47" s="3">
        <v>1</v>
      </c>
    </row>
    <row r="48" spans="1:12" x14ac:dyDescent="0.2">
      <c r="A48" s="2" t="s">
        <v>39</v>
      </c>
      <c r="B48" s="3" t="s">
        <v>40</v>
      </c>
      <c r="C48" s="3">
        <v>1</v>
      </c>
      <c r="E48" s="6"/>
      <c r="F48" s="7"/>
      <c r="G48" s="2" t="s">
        <v>41</v>
      </c>
      <c r="H48" s="9" t="s">
        <v>42</v>
      </c>
      <c r="I48" s="3">
        <v>3</v>
      </c>
    </row>
    <row r="49" spans="1:11" x14ac:dyDescent="0.2">
      <c r="A49" s="2" t="s">
        <v>43</v>
      </c>
      <c r="B49" s="3" t="s">
        <v>44</v>
      </c>
      <c r="C49" s="3">
        <v>0.5</v>
      </c>
      <c r="E49" s="6"/>
      <c r="F49" s="7"/>
      <c r="G49" s="2" t="s">
        <v>45</v>
      </c>
      <c r="H49" s="9" t="s">
        <v>46</v>
      </c>
      <c r="I49" s="3">
        <v>2</v>
      </c>
    </row>
    <row r="50" spans="1:11" x14ac:dyDescent="0.2">
      <c r="A50" s="2" t="s">
        <v>47</v>
      </c>
      <c r="B50" s="3" t="s">
        <v>48</v>
      </c>
      <c r="C50" s="3">
        <v>0.5</v>
      </c>
      <c r="E50" s="6"/>
      <c r="F50" s="7"/>
      <c r="G50" s="2" t="s">
        <v>49</v>
      </c>
      <c r="H50" s="9" t="s">
        <v>50</v>
      </c>
      <c r="I50" s="3">
        <v>-1</v>
      </c>
    </row>
    <row r="51" spans="1:11" x14ac:dyDescent="0.2">
      <c r="A51" s="2" t="s">
        <v>51</v>
      </c>
      <c r="B51" s="3" t="s">
        <v>52</v>
      </c>
      <c r="C51" s="3">
        <v>2</v>
      </c>
      <c r="E51" s="6"/>
      <c r="F51" s="7"/>
      <c r="G51" s="2" t="s">
        <v>53</v>
      </c>
      <c r="H51" s="9" t="s">
        <v>54</v>
      </c>
      <c r="I51" s="3">
        <v>0.5</v>
      </c>
    </row>
    <row r="52" spans="1:11" x14ac:dyDescent="0.2">
      <c r="A52" s="2" t="s">
        <v>55</v>
      </c>
      <c r="B52" s="3" t="s">
        <v>56</v>
      </c>
      <c r="C52" s="3">
        <v>1</v>
      </c>
      <c r="E52" s="6"/>
      <c r="F52" s="7"/>
      <c r="G52" s="10"/>
      <c r="K52" s="11"/>
    </row>
    <row r="53" spans="1:11" x14ac:dyDescent="0.2">
      <c r="A53" s="2" t="s">
        <v>57</v>
      </c>
      <c r="B53" s="3" t="s">
        <v>58</v>
      </c>
      <c r="C53" s="3">
        <v>1</v>
      </c>
      <c r="E53" s="6"/>
      <c r="F53" s="7"/>
      <c r="G53" s="10"/>
    </row>
    <row r="54" spans="1:11" x14ac:dyDescent="0.2">
      <c r="A54" s="2" t="s">
        <v>59</v>
      </c>
      <c r="B54" s="3" t="s">
        <v>60</v>
      </c>
      <c r="C54" s="3">
        <v>1</v>
      </c>
      <c r="E54" s="6"/>
      <c r="F54" s="7"/>
      <c r="G54" s="7"/>
      <c r="H54" s="6"/>
      <c r="I54" s="6"/>
    </row>
    <row r="55" spans="1:11" x14ac:dyDescent="0.2">
      <c r="A55" s="2" t="s">
        <v>61</v>
      </c>
      <c r="B55" s="3" t="s">
        <v>62</v>
      </c>
      <c r="C55" s="3">
        <v>1</v>
      </c>
      <c r="E55" s="6"/>
      <c r="F55" s="7"/>
      <c r="G55" s="7"/>
      <c r="H55" s="6"/>
      <c r="I55" s="6"/>
    </row>
    <row r="56" spans="1:11" x14ac:dyDescent="0.2">
      <c r="A56" s="2" t="s">
        <v>63</v>
      </c>
      <c r="B56" s="3" t="s">
        <v>64</v>
      </c>
      <c r="C56" s="3">
        <v>1</v>
      </c>
      <c r="E56" s="6"/>
      <c r="F56" s="7"/>
      <c r="G56" s="7"/>
      <c r="H56" s="6"/>
      <c r="I56" s="6"/>
    </row>
    <row r="57" spans="1:11" x14ac:dyDescent="0.2">
      <c r="E57" s="6"/>
      <c r="F57" s="6"/>
      <c r="G57" s="6"/>
      <c r="H57" s="6"/>
      <c r="I57" s="6"/>
    </row>
    <row r="58" spans="1:11" x14ac:dyDescent="0.2">
      <c r="A58" s="12" t="s">
        <v>65</v>
      </c>
      <c r="B58" s="12" t="s">
        <v>66</v>
      </c>
      <c r="C58" s="12" t="s">
        <v>67</v>
      </c>
      <c r="D58" s="12" t="s">
        <v>68</v>
      </c>
      <c r="E58" s="8"/>
      <c r="G58" s="12" t="s">
        <v>65</v>
      </c>
      <c r="H58" s="12" t="s">
        <v>66</v>
      </c>
      <c r="I58" s="12" t="s">
        <v>67</v>
      </c>
      <c r="J58" s="12" t="s">
        <v>68</v>
      </c>
      <c r="K58" s="8"/>
    </row>
    <row r="59" spans="1:11" x14ac:dyDescent="0.2">
      <c r="A59" s="2" t="s">
        <v>23</v>
      </c>
      <c r="B59" s="13">
        <v>2</v>
      </c>
      <c r="C59" s="3">
        <v>2</v>
      </c>
      <c r="D59" s="14">
        <f t="shared" ref="D59:D71" si="0">B59*C59</f>
        <v>4</v>
      </c>
      <c r="G59" s="2" t="s">
        <v>25</v>
      </c>
      <c r="H59" s="3">
        <v>1.5</v>
      </c>
      <c r="I59" s="1">
        <v>2</v>
      </c>
      <c r="J59" s="5">
        <f t="shared" ref="J59:J66" si="1">H59*I59</f>
        <v>3</v>
      </c>
    </row>
    <row r="60" spans="1:11" x14ac:dyDescent="0.2">
      <c r="A60" s="2" t="s">
        <v>27</v>
      </c>
      <c r="B60" s="13">
        <v>1.5</v>
      </c>
      <c r="C60" s="3">
        <v>4</v>
      </c>
      <c r="D60" s="14">
        <f t="shared" si="0"/>
        <v>6</v>
      </c>
      <c r="G60" s="2" t="s">
        <v>29</v>
      </c>
      <c r="H60" s="3">
        <v>0.5</v>
      </c>
      <c r="I60" s="1">
        <v>1</v>
      </c>
      <c r="J60" s="5">
        <f t="shared" si="1"/>
        <v>0.5</v>
      </c>
    </row>
    <row r="61" spans="1:11" x14ac:dyDescent="0.2">
      <c r="A61" s="2" t="s">
        <v>31</v>
      </c>
      <c r="B61" s="13">
        <v>1</v>
      </c>
      <c r="C61" s="3">
        <v>4</v>
      </c>
      <c r="D61" s="14">
        <f t="shared" si="0"/>
        <v>4</v>
      </c>
      <c r="G61" s="2" t="s">
        <v>33</v>
      </c>
      <c r="H61" s="3">
        <v>1</v>
      </c>
      <c r="I61" s="1">
        <v>2</v>
      </c>
      <c r="J61" s="5">
        <f t="shared" si="1"/>
        <v>2</v>
      </c>
    </row>
    <row r="62" spans="1:11" x14ac:dyDescent="0.2">
      <c r="A62" s="2" t="s">
        <v>35</v>
      </c>
      <c r="B62" s="13">
        <v>1</v>
      </c>
      <c r="C62" s="3">
        <v>4</v>
      </c>
      <c r="D62" s="14">
        <f t="shared" si="0"/>
        <v>4</v>
      </c>
      <c r="G62" s="2" t="s">
        <v>37</v>
      </c>
      <c r="H62" s="3">
        <v>1</v>
      </c>
      <c r="I62" s="1">
        <v>2</v>
      </c>
      <c r="J62" s="5">
        <f t="shared" si="1"/>
        <v>2</v>
      </c>
    </row>
    <row r="63" spans="1:11" x14ac:dyDescent="0.2">
      <c r="A63" s="2" t="s">
        <v>39</v>
      </c>
      <c r="B63" s="13">
        <v>0.5</v>
      </c>
      <c r="C63" s="3">
        <v>3</v>
      </c>
      <c r="D63" s="14">
        <f t="shared" si="0"/>
        <v>1.5</v>
      </c>
      <c r="G63" s="2" t="s">
        <v>41</v>
      </c>
      <c r="H63" s="3">
        <v>3</v>
      </c>
      <c r="I63" s="1">
        <v>3</v>
      </c>
      <c r="J63" s="5">
        <f t="shared" si="1"/>
        <v>9</v>
      </c>
    </row>
    <row r="64" spans="1:11" x14ac:dyDescent="0.2">
      <c r="A64" s="2" t="s">
        <v>43</v>
      </c>
      <c r="B64" s="13">
        <v>0.5</v>
      </c>
      <c r="C64" s="3">
        <v>4</v>
      </c>
      <c r="D64" s="14">
        <f t="shared" si="0"/>
        <v>2</v>
      </c>
      <c r="G64" s="2" t="s">
        <v>45</v>
      </c>
      <c r="H64" s="3">
        <v>2</v>
      </c>
      <c r="I64" s="1">
        <v>2</v>
      </c>
      <c r="J64" s="5">
        <f t="shared" si="1"/>
        <v>4</v>
      </c>
    </row>
    <row r="65" spans="1:10" x14ac:dyDescent="0.2">
      <c r="A65" s="2" t="s">
        <v>47</v>
      </c>
      <c r="B65" s="13">
        <v>1</v>
      </c>
      <c r="C65" s="3">
        <v>4</v>
      </c>
      <c r="D65" s="14">
        <f t="shared" si="0"/>
        <v>4</v>
      </c>
      <c r="G65" s="2" t="s">
        <v>49</v>
      </c>
      <c r="H65" s="3">
        <v>-1</v>
      </c>
      <c r="I65" s="1">
        <v>4</v>
      </c>
      <c r="J65" s="5">
        <f t="shared" si="1"/>
        <v>-4</v>
      </c>
    </row>
    <row r="66" spans="1:10" x14ac:dyDescent="0.2">
      <c r="A66" s="2" t="s">
        <v>51</v>
      </c>
      <c r="B66" s="13">
        <v>1</v>
      </c>
      <c r="C66" s="3">
        <v>4</v>
      </c>
      <c r="D66" s="14">
        <f t="shared" si="0"/>
        <v>4</v>
      </c>
      <c r="G66" s="2" t="s">
        <v>53</v>
      </c>
      <c r="H66" s="3">
        <v>0.5</v>
      </c>
      <c r="I66" s="1">
        <v>2</v>
      </c>
      <c r="J66" s="5">
        <f t="shared" si="1"/>
        <v>1</v>
      </c>
    </row>
    <row r="67" spans="1:10" x14ac:dyDescent="0.2">
      <c r="A67" s="2" t="s">
        <v>55</v>
      </c>
      <c r="B67" s="13">
        <v>1</v>
      </c>
      <c r="C67" s="3">
        <v>3</v>
      </c>
      <c r="D67" s="14">
        <f t="shared" si="0"/>
        <v>3</v>
      </c>
      <c r="G67" s="1" t="s">
        <v>69</v>
      </c>
      <c r="J67" s="5">
        <f>SUM(J59:J66)</f>
        <v>17.5</v>
      </c>
    </row>
    <row r="68" spans="1:10" x14ac:dyDescent="0.2">
      <c r="A68" s="2" t="s">
        <v>57</v>
      </c>
      <c r="B68" s="13">
        <v>1</v>
      </c>
      <c r="C68" s="3">
        <v>2</v>
      </c>
      <c r="D68" s="14">
        <f t="shared" si="0"/>
        <v>2</v>
      </c>
      <c r="G68" s="1" t="s">
        <v>70</v>
      </c>
      <c r="J68" s="5">
        <f>1.4+(-0.03*J67)</f>
        <v>0.87499999999999989</v>
      </c>
    </row>
    <row r="69" spans="1:10" x14ac:dyDescent="0.2">
      <c r="A69" s="2" t="s">
        <v>59</v>
      </c>
      <c r="B69" s="13">
        <v>2</v>
      </c>
      <c r="C69" s="3">
        <v>3</v>
      </c>
      <c r="D69" s="14">
        <f t="shared" si="0"/>
        <v>6</v>
      </c>
    </row>
    <row r="70" spans="1:10" x14ac:dyDescent="0.2">
      <c r="A70" s="2" t="s">
        <v>61</v>
      </c>
      <c r="B70" s="13">
        <v>1</v>
      </c>
      <c r="C70" s="3">
        <v>3</v>
      </c>
      <c r="D70" s="14">
        <f t="shared" si="0"/>
        <v>3</v>
      </c>
    </row>
    <row r="71" spans="1:10" x14ac:dyDescent="0.2">
      <c r="A71" s="2" t="s">
        <v>63</v>
      </c>
      <c r="B71" s="13">
        <v>0.5</v>
      </c>
      <c r="C71" s="3">
        <v>1</v>
      </c>
      <c r="D71" s="14">
        <f t="shared" si="0"/>
        <v>0.5</v>
      </c>
    </row>
    <row r="72" spans="1:10" x14ac:dyDescent="0.2">
      <c r="A72" s="1" t="s">
        <v>69</v>
      </c>
      <c r="D72" s="5">
        <f>SUM(D59:D71)</f>
        <v>44</v>
      </c>
    </row>
    <row r="73" spans="1:10" x14ac:dyDescent="0.2">
      <c r="A73" s="1" t="s">
        <v>71</v>
      </c>
      <c r="D73" s="5">
        <f>0.6+(0.01*D72)</f>
        <v>1.04</v>
      </c>
    </row>
    <row r="76" spans="1:10" x14ac:dyDescent="0.2">
      <c r="A76" s="15" t="s">
        <v>72</v>
      </c>
      <c r="B76" s="16"/>
    </row>
    <row r="77" spans="1:10" x14ac:dyDescent="0.2">
      <c r="A77" s="15" t="s">
        <v>73</v>
      </c>
      <c r="B77" s="16"/>
    </row>
    <row r="78" spans="1:10" x14ac:dyDescent="0.2">
      <c r="A78" s="15" t="s">
        <v>74</v>
      </c>
      <c r="B78" s="15">
        <f>(F23+E39)*J68*D73</f>
        <v>124.66999999999999</v>
      </c>
    </row>
    <row r="79" spans="1:10" x14ac:dyDescent="0.2">
      <c r="A79" s="15" t="s">
        <v>75</v>
      </c>
      <c r="B79" s="16">
        <f>B78*20</f>
        <v>2493.3999999999996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Валерий</cp:lastModifiedBy>
  <dcterms:modified xsi:type="dcterms:W3CDTF">2025-12-26T11:49:22Z</dcterms:modified>
</cp:coreProperties>
</file>